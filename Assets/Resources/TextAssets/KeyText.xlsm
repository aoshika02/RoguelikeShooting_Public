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07\Desktop\RoguelikeShooting\Assets\Resources\TextAssets\"/>
    </mc:Choice>
  </mc:AlternateContent>
  <xr:revisionPtr revIDLastSave="0" documentId="13_ncr:1_{DAA30E68-F03E-4EE2-ACAD-2E07DA2B4746}" xr6:coauthVersionLast="47" xr6:coauthVersionMax="47" xr10:uidLastSave="{00000000-0000-0000-0000-000000000000}"/>
  <bookViews>
    <workbookView xWindow="-108" yWindow="-108" windowWidth="23256" windowHeight="12456" activeTab="1" xr2:uid="{E8205ED0-2C48-489A-88A9-396A626E2CD0}"/>
  </bookViews>
  <sheets>
    <sheet name="プルダウンリスト" sheetId="1" r:id="rId1"/>
    <sheet name="KeyText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9" i="2" l="1"/>
  <c r="E58" i="2"/>
  <c r="E57" i="2"/>
  <c r="E56" i="2"/>
  <c r="E54" i="2"/>
  <c r="E55" i="2"/>
  <c r="E53" i="2"/>
  <c r="E50" i="2"/>
  <c r="E52" i="2"/>
  <c r="E45" i="2"/>
  <c r="E43" i="2"/>
  <c r="E42" i="2"/>
  <c r="E40" i="2"/>
  <c r="E37" i="2"/>
  <c r="E32" i="2"/>
  <c r="E36" i="2"/>
  <c r="E38" i="2"/>
  <c r="E39" i="2"/>
  <c r="E35" i="2"/>
  <c r="E30" i="2"/>
  <c r="E31" i="2"/>
  <c r="E33" i="2"/>
  <c r="E34" i="2"/>
  <c r="E29" i="2"/>
  <c r="E28" i="2"/>
  <c r="E18" i="2"/>
  <c r="E19" i="2"/>
  <c r="E20" i="2"/>
  <c r="E21" i="2"/>
  <c r="E22" i="2"/>
  <c r="E23" i="2"/>
  <c r="E24" i="2"/>
  <c r="E25" i="2"/>
  <c r="E26" i="2"/>
  <c r="E27" i="2"/>
  <c r="E49" i="2"/>
  <c r="E44" i="2"/>
  <c r="E48" i="2"/>
  <c r="E51" i="2"/>
  <c r="E13" i="2"/>
  <c r="E14" i="2"/>
  <c r="E15" i="2"/>
  <c r="E16" i="2"/>
  <c r="E17" i="2"/>
  <c r="E41" i="2"/>
  <c r="E46" i="2"/>
  <c r="E47" i="2"/>
  <c r="E3" i="2"/>
  <c r="E4" i="2"/>
  <c r="E5" i="2"/>
  <c r="E6" i="2"/>
  <c r="E7" i="2"/>
  <c r="E8" i="2"/>
  <c r="E9" i="2"/>
  <c r="E10" i="2"/>
  <c r="E11" i="2"/>
  <c r="E12" i="2"/>
  <c r="E2" i="2"/>
</calcChain>
</file>

<file path=xl/sharedStrings.xml><?xml version="1.0" encoding="utf-8"?>
<sst xmlns="http://schemas.openxmlformats.org/spreadsheetml/2006/main" count="307" uniqueCount="123">
  <si>
    <t>SabType</t>
    <phoneticPr fontId="1"/>
  </si>
  <si>
    <t>追加済</t>
    <rPh sb="0" eb="2">
      <t>ツイカ</t>
    </rPh>
    <rPh sb="2" eb="3">
      <t>ズミ</t>
    </rPh>
    <phoneticPr fontId="1"/>
  </si>
  <si>
    <t>Sample</t>
    <phoneticPr fontId="1"/>
  </si>
  <si>
    <t>Name</t>
    <phoneticPr fontId="1"/>
  </si>
  <si>
    <t>〇</t>
    <phoneticPr fontId="1"/>
  </si>
  <si>
    <t>Text</t>
    <phoneticPr fontId="1"/>
  </si>
  <si>
    <t>×</t>
    <phoneticPr fontId="1"/>
  </si>
  <si>
    <t>Type</t>
    <phoneticPr fontId="1"/>
  </si>
  <si>
    <t>SubType</t>
    <phoneticPr fontId="1"/>
  </si>
  <si>
    <t>Index</t>
    <phoneticPr fontId="1"/>
  </si>
  <si>
    <t>FindKey</t>
    <phoneticPr fontId="1"/>
  </si>
  <si>
    <t>Memo</t>
    <phoneticPr fontId="1"/>
  </si>
  <si>
    <t>追加済</t>
    <rPh sb="0" eb="2">
      <t>ツイカ</t>
    </rPh>
    <rPh sb="2" eb="3">
      <t>スミ</t>
    </rPh>
    <phoneticPr fontId="1"/>
  </si>
  <si>
    <t>Text</t>
  </si>
  <si>
    <t>TextEventType</t>
    <phoneticPr fontId="1"/>
  </si>
  <si>
    <t>None</t>
    <phoneticPr fontId="1"/>
  </si>
  <si>
    <t>〇</t>
  </si>
  <si>
    <t>TextType</t>
    <phoneticPr fontId="1"/>
  </si>
  <si>
    <t>Buff</t>
  </si>
  <si>
    <t>Buff</t>
    <phoneticPr fontId="1"/>
  </si>
  <si>
    <t>AttackUp</t>
    <phoneticPr fontId="1"/>
  </si>
  <si>
    <t>ReloadUp</t>
    <phoneticPr fontId="1"/>
  </si>
  <si>
    <t>SpeedUp</t>
    <phoneticPr fontId="1"/>
  </si>
  <si>
    <t>Heal</t>
    <phoneticPr fontId="1"/>
  </si>
  <si>
    <t>ExpUp</t>
    <phoneticPr fontId="1"/>
  </si>
  <si>
    <t>HpUp</t>
    <phoneticPr fontId="1"/>
  </si>
  <si>
    <t>BuffSlot</t>
    <phoneticPr fontId="1"/>
  </si>
  <si>
    <t>ScopeMode</t>
    <phoneticPr fontId="1"/>
  </si>
  <si>
    <t>BulletUp</t>
    <phoneticPr fontId="1"/>
  </si>
  <si>
    <t>SelecteBuffUp</t>
    <phoneticPr fontId="1"/>
  </si>
  <si>
    <t>AttackUpPerSent</t>
    <phoneticPr fontId="1"/>
  </si>
  <si>
    <t>Message</t>
    <phoneticPr fontId="1"/>
  </si>
  <si>
    <t>SelectA</t>
    <phoneticPr fontId="1"/>
  </si>
  <si>
    <t>SelectB</t>
    <phoneticPr fontId="1"/>
  </si>
  <si>
    <t>火力増強</t>
    <rPh sb="0" eb="4">
      <t>カリョクゾウキョウ</t>
    </rPh>
    <phoneticPr fontId="1"/>
  </si>
  <si>
    <t>速度上昇</t>
    <rPh sb="0" eb="4">
      <t>ソクドジョウショウ</t>
    </rPh>
    <phoneticPr fontId="1"/>
  </si>
  <si>
    <t>攻撃力が{Value}上昇する</t>
    <rPh sb="0" eb="3">
      <t>コウゲキリョク</t>
    </rPh>
    <rPh sb="11" eb="13">
      <t>ジョウショウ</t>
    </rPh>
    <phoneticPr fontId="1"/>
  </si>
  <si>
    <t>攻撃力が{Value}％上昇する</t>
    <rPh sb="0" eb="3">
      <t>コウゲキリョク</t>
    </rPh>
    <rPh sb="12" eb="14">
      <t>ジョウショウ</t>
    </rPh>
    <phoneticPr fontId="1"/>
  </si>
  <si>
    <t>パッチの選択肢が増える</t>
    <rPh sb="0" eb="1">
      <t>フ</t>
    </rPh>
    <phoneticPr fontId="1"/>
  </si>
  <si>
    <t>装填できる弾の上限が{Value}増える</t>
    <rPh sb="0" eb="2">
      <t>ソウテン</t>
    </rPh>
    <rPh sb="5" eb="6">
      <t>タマ</t>
    </rPh>
    <rPh sb="7" eb="9">
      <t>ジョウゲン</t>
    </rPh>
    <rPh sb="17" eb="18">
      <t>フ</t>
    </rPh>
    <phoneticPr fontId="1"/>
  </si>
  <si>
    <t>敵を壁を越えて観測できる</t>
    <rPh sb="0" eb="1">
      <t>テキ</t>
    </rPh>
    <rPh sb="2" eb="3">
      <t>カベ</t>
    </rPh>
    <rPh sb="4" eb="5">
      <t>コ</t>
    </rPh>
    <rPh sb="7" eb="9">
      <t>カンソク</t>
    </rPh>
    <phoneticPr fontId="1"/>
  </si>
  <si>
    <t>パッチのインストール上限が増える</t>
    <rPh sb="10" eb="12">
      <t>ジョウゲン</t>
    </rPh>
    <rPh sb="13" eb="14">
      <t>フ</t>
    </rPh>
    <phoneticPr fontId="1"/>
  </si>
  <si>
    <t>HPの上限が{Value}増える</t>
    <phoneticPr fontId="1"/>
  </si>
  <si>
    <t>獲得できるEXPが{Value}％増える</t>
    <rPh sb="0" eb="2">
      <t>カクトク</t>
    </rPh>
    <phoneticPr fontId="1"/>
  </si>
  <si>
    <t>HPを{Value}回復する</t>
    <rPh sb="10" eb="12">
      <t>カイフク</t>
    </rPh>
    <phoneticPr fontId="1"/>
  </si>
  <si>
    <t>リロード時間が{Value}減少する</t>
    <rPh sb="4" eb="6">
      <t>ジカン</t>
    </rPh>
    <rPh sb="14" eb="16">
      <t>ゲンショウ</t>
    </rPh>
    <phoneticPr fontId="1"/>
  </si>
  <si>
    <t>ダッシュ時の速度が{Value}上昇する</t>
    <rPh sb="4" eb="5">
      <t>ジ</t>
    </rPh>
    <rPh sb="6" eb="8">
      <t>ソクド</t>
    </rPh>
    <rPh sb="16" eb="18">
      <t>ジョウショウ</t>
    </rPh>
    <phoneticPr fontId="1"/>
  </si>
  <si>
    <t>Message</t>
  </si>
  <si>
    <t>NaviBuffSelect</t>
    <phoneticPr fontId="1"/>
  </si>
  <si>
    <t>NaviBuffSelected</t>
    <phoneticPr fontId="1"/>
  </si>
  <si>
    <t>AreaCount</t>
    <phoneticPr fontId="1"/>
  </si>
  <si>
    <t>NaviEnemyCount</t>
    <phoneticPr fontId="1"/>
  </si>
  <si>
    <t>NaviAccept</t>
    <phoneticPr fontId="1"/>
  </si>
  <si>
    <t>NaviMove</t>
    <phoneticPr fontId="1"/>
  </si>
  <si>
    <t>NaviShoot</t>
    <phoneticPr fontId="1"/>
  </si>
  <si>
    <t>NaviBullet</t>
    <phoneticPr fontId="1"/>
  </si>
  <si>
    <t>NaviEnemyDown</t>
    <phoneticPr fontId="1"/>
  </si>
  <si>
    <t>NaviBuff</t>
    <phoneticPr fontId="1"/>
  </si>
  <si>
    <t>NaviEnemyKill</t>
    <phoneticPr fontId="1"/>
  </si>
  <si>
    <t>AttackUpPerSent</t>
  </si>
  <si>
    <t>{Value}階</t>
    <phoneticPr fontId="1"/>
  </si>
  <si>
    <t>敵を討伐しましょう</t>
    <rPh sb="0" eb="1">
      <t>テキ</t>
    </rPh>
    <rPh sb="2" eb="4">
      <t>トウバツ</t>
    </rPh>
    <phoneticPr fontId="1"/>
  </si>
  <si>
    <t>残りの敵の数は{Value}です</t>
    <rPh sb="0" eb="1">
      <t>ノコ</t>
    </rPh>
    <rPh sb="3" eb="4">
      <t>テキ</t>
    </rPh>
    <rPh sb="5" eb="6">
      <t>カズ</t>
    </rPh>
    <phoneticPr fontId="1"/>
  </si>
  <si>
    <t>適応するパッチを選択してください</t>
    <rPh sb="0" eb="2">
      <t>テキオウ</t>
    </rPh>
    <rPh sb="8" eb="10">
      <t>センタク</t>
    </rPh>
    <phoneticPr fontId="1"/>
  </si>
  <si>
    <t>選択したパッチを適応しました</t>
    <rPh sb="0" eb="2">
      <t>センタク</t>
    </rPh>
    <rPh sb="8" eb="10">
      <t>テキオウ</t>
    </rPh>
    <phoneticPr fontId="1"/>
  </si>
  <si>
    <t>「WASD」で移動することができます</t>
    <rPh sb="7" eb="9">
      <t>イドウ</t>
    </rPh>
    <phoneticPr fontId="1"/>
  </si>
  <si>
    <t>マウスのクリックで射撃を行えます</t>
    <rPh sb="9" eb="11">
      <t>シャゲキ</t>
    </rPh>
    <rPh sb="12" eb="13">
      <t>オコナ</t>
    </rPh>
    <phoneticPr fontId="1"/>
  </si>
  <si>
    <t>すべての敵を倒しました</t>
    <rPh sb="4" eb="5">
      <t>テキ</t>
    </rPh>
    <rPh sb="6" eb="7">
      <t>タオ</t>
    </rPh>
    <phoneticPr fontId="1"/>
  </si>
  <si>
    <t>次の階へ向かいましょう</t>
    <rPh sb="0" eb="1">
      <t>ツギ</t>
    </rPh>
    <rPh sb="2" eb="3">
      <t>カイ</t>
    </rPh>
    <rPh sb="4" eb="5">
      <t>ム</t>
    </rPh>
    <phoneticPr fontId="1"/>
  </si>
  <si>
    <t>ResultClearRabel</t>
    <phoneticPr fontId="1"/>
  </si>
  <si>
    <t>ResultFailedRabel</t>
    <phoneticPr fontId="1"/>
  </si>
  <si>
    <t>ResultFloorRabel</t>
    <phoneticPr fontId="1"/>
  </si>
  <si>
    <t>ResultTimeRabel</t>
    <phoneticPr fontId="1"/>
  </si>
  <si>
    <t>ResultDamageRabel</t>
    <phoneticPr fontId="1"/>
  </si>
  <si>
    <t>ResultEnemyRabel</t>
    <phoneticPr fontId="1"/>
  </si>
  <si>
    <t>ResultFloorValue</t>
    <phoneticPr fontId="1"/>
  </si>
  <si>
    <t>ResultTimeValue</t>
    <phoneticPr fontId="1"/>
  </si>
  <si>
    <t>ResultDamageValue</t>
    <phoneticPr fontId="1"/>
  </si>
  <si>
    <t>ResultEnemyValue</t>
    <phoneticPr fontId="1"/>
  </si>
  <si>
    <t>任務完了</t>
    <rPh sb="0" eb="4">
      <t>ニンムカンリョウ</t>
    </rPh>
    <phoneticPr fontId="1"/>
  </si>
  <si>
    <t>任務失敗</t>
    <rPh sb="0" eb="4">
      <t>ニンムシッパイ</t>
    </rPh>
    <phoneticPr fontId="1"/>
  </si>
  <si>
    <t>踏破階層数</t>
    <phoneticPr fontId="1"/>
  </si>
  <si>
    <t>滞在時間</t>
  </si>
  <si>
    <t>総ダメージ数</t>
    <phoneticPr fontId="1"/>
  </si>
  <si>
    <t>総討伐数</t>
  </si>
  <si>
    <t>{Value}体</t>
    <rPh sb="7" eb="8">
      <t>カラダ</t>
    </rPh>
    <phoneticPr fontId="1"/>
  </si>
  <si>
    <t>{Value}</t>
    <phoneticPr fontId="1"/>
  </si>
  <si>
    <t>TapToTitle</t>
    <phoneticPr fontId="1"/>
  </si>
  <si>
    <t>タップして帰還する</t>
    <rPh sb="5" eb="7">
      <t>キカン</t>
    </rPh>
    <phoneticPr fontId="1"/>
  </si>
  <si>
    <t>TutorialScenario</t>
    <phoneticPr fontId="1"/>
  </si>
  <si>
    <t>???</t>
    <phoneticPr fontId="1"/>
  </si>
  <si>
    <t>やあ、初めまして</t>
    <rPh sb="3" eb="4">
      <t>ハジ</t>
    </rPh>
    <phoneticPr fontId="1"/>
  </si>
  <si>
    <t>私はイスルギ</t>
    <rPh sb="0" eb="1">
      <t>ワタシ</t>
    </rPh>
    <phoneticPr fontId="1"/>
  </si>
  <si>
    <t>イスルギ</t>
    <phoneticPr fontId="1"/>
  </si>
  <si>
    <t>アルバイトを引き受けてくれて、ありがとう。</t>
  </si>
  <si>
    <t>それさえ使えれば、基本的には問題ないはずだ。</t>
  </si>
  <si>
    <t>それじゃあ、健闘を祈る。</t>
  </si>
  <si>
    <t>支給した特製の銃と専用システムは、\nやつらの討伐に合わせて調整してある。</t>
    <phoneticPr fontId="1"/>
  </si>
  <si>
    <t>とはいえ、急に渡されたら扱いに戸惑うだろうし、\n使い方はきちんとレクチャーするつもりだったんだが…</t>
    <phoneticPr fontId="1"/>
  </si>
  <si>
    <t>あいにく、このあと予定があってね。</t>
    <phoneticPr fontId="1"/>
  </si>
  <si>
    <t>これから君には、私の所有するビルに住み着いてしまった\nモンスターや</t>
    <phoneticPr fontId="1"/>
  </si>
  <si>
    <t>故障して暴走している警備ロボットを倒し、\nビルを安全な状態に戻してもらいたい。</t>
    <phoneticPr fontId="1"/>
  </si>
  <si>
    <t>以降の説明はサポートシステムが行うから、\nそっちの指示に従ってくれ。</t>
    <phoneticPr fontId="1"/>
  </si>
  <si>
    <t>私はサポートシステム</t>
    <rPh sb="0" eb="1">
      <t>ワタシ</t>
    </rPh>
    <phoneticPr fontId="1"/>
  </si>
  <si>
    <t>まずは移動してみましょう</t>
    <rPh sb="3" eb="5">
      <t>イドウ</t>
    </rPh>
    <phoneticPr fontId="1"/>
  </si>
  <si>
    <t>「マウス」で視点移動することができます</t>
    <rPh sb="6" eb="10">
      <t>シテンイドウ</t>
    </rPh>
    <phoneticPr fontId="1"/>
  </si>
  <si>
    <t>模擬戦闘のサポートを開始します</t>
    <rPh sb="0" eb="4">
      <t>モギセントウ</t>
    </rPh>
    <rPh sb="10" eb="12">
      <t>カイシ</t>
    </rPh>
    <phoneticPr fontId="1"/>
  </si>
  <si>
    <t>「Shift」でダッシュすることができます</t>
    <phoneticPr fontId="1"/>
  </si>
  <si>
    <t>残弾が無くなると自動でリロードを行います</t>
    <rPh sb="0" eb="1">
      <t>ノコ</t>
    </rPh>
    <rPh sb="1" eb="2">
      <t>ダン</t>
    </rPh>
    <rPh sb="3" eb="4">
      <t>ナ</t>
    </rPh>
    <rPh sb="8" eb="10">
      <t>ジドウ</t>
    </rPh>
    <rPh sb="16" eb="17">
      <t>オコナ</t>
    </rPh>
    <phoneticPr fontId="1"/>
  </si>
  <si>
    <t>NaviNext</t>
    <phoneticPr fontId="1"/>
  </si>
  <si>
    <t>次のフロアへ向かいましょう</t>
    <rPh sb="0" eb="1">
      <t>ツギ</t>
    </rPh>
    <rPh sb="6" eb="7">
      <t>ム</t>
    </rPh>
    <phoneticPr fontId="1"/>
  </si>
  <si>
    <t>フロアをクリアすると追加パッチを獲得できます</t>
    <rPh sb="10" eb="12">
      <t>ツイカ</t>
    </rPh>
    <rPh sb="16" eb="18">
      <t>カクトク</t>
    </rPh>
    <phoneticPr fontId="1"/>
  </si>
  <si>
    <t>追加パッチの適応によって銃やシステムのアップデートができます</t>
    <rPh sb="0" eb="2">
      <t>ツイカ</t>
    </rPh>
    <rPh sb="6" eb="8">
      <t>テキオウ</t>
    </rPh>
    <rPh sb="12" eb="13">
      <t>ジュウ</t>
    </rPh>
    <phoneticPr fontId="1"/>
  </si>
  <si>
    <t>NaviFight</t>
    <phoneticPr fontId="1"/>
  </si>
  <si>
    <t>敵との模擬戦闘を行います</t>
    <rPh sb="0" eb="1">
      <t>テキ</t>
    </rPh>
    <rPh sb="3" eb="5">
      <t>モギ</t>
    </rPh>
    <rPh sb="5" eb="7">
      <t>セントウ</t>
    </rPh>
    <rPh sb="8" eb="9">
      <t>オコナ</t>
    </rPh>
    <phoneticPr fontId="1"/>
  </si>
  <si>
    <t>今回は模擬戦闘であるためダメージを受けても致命傷になりません</t>
    <rPh sb="0" eb="2">
      <t>コンカイ</t>
    </rPh>
    <rPh sb="3" eb="7">
      <t>モギセントウ</t>
    </rPh>
    <rPh sb="17" eb="18">
      <t>ウ</t>
    </rPh>
    <rPh sb="21" eb="24">
      <t>チメイショウ</t>
    </rPh>
    <phoneticPr fontId="1"/>
  </si>
  <si>
    <t>NaviEnd</t>
    <phoneticPr fontId="1"/>
  </si>
  <si>
    <t>敵の攻撃に注意して敵の討伐を行ってください</t>
    <rPh sb="0" eb="1">
      <t>テキ</t>
    </rPh>
    <rPh sb="2" eb="4">
      <t>コウゲキ</t>
    </rPh>
    <rPh sb="5" eb="7">
      <t>チュウイ</t>
    </rPh>
    <rPh sb="9" eb="10">
      <t>テキ</t>
    </rPh>
    <rPh sb="11" eb="13">
      <t>トウバツ</t>
    </rPh>
    <rPh sb="14" eb="15">
      <t>オコナ</t>
    </rPh>
    <phoneticPr fontId="1"/>
  </si>
  <si>
    <t>敵の沈黙を確認</t>
    <rPh sb="0" eb="1">
      <t>テキ</t>
    </rPh>
    <rPh sb="2" eb="4">
      <t>チンモク</t>
    </rPh>
    <rPh sb="5" eb="7">
      <t>カクニン</t>
    </rPh>
    <phoneticPr fontId="1"/>
  </si>
  <si>
    <t>模擬戦闘のサポートを終了します</t>
    <rPh sb="0" eb="4">
      <t>モギセントウ</t>
    </rPh>
    <rPh sb="10" eb="12">
      <t>シュウリョウ</t>
    </rPh>
    <phoneticPr fontId="1"/>
  </si>
  <si>
    <t>NaviGameEnd</t>
  </si>
  <si>
    <t>NaviGameEnd</t>
    <phoneticPr fontId="1"/>
  </si>
  <si>
    <t>これで任務は完了です。脱出しましょう</t>
    <rPh sb="3" eb="5">
      <t>ニンム</t>
    </rPh>
    <rPh sb="6" eb="8">
      <t>カンリョウ</t>
    </rPh>
    <rPh sb="11" eb="13">
      <t>ダッシュツ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</si>
</sst>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0DEAF1-520B-416D-8794-3DFE0EB6E958}" name="テーブル2" displayName="テーブル2" ref="A1:K59" totalsRowShown="0">
  <autoFilter ref="A1:K59" xr:uid="{3C0DEAF1-520B-416D-8794-3DFE0EB6E958}"/>
  <tableColumns count="11">
    <tableColumn id="2" xr3:uid="{71D5CB52-24C4-4B4E-93E6-607393053ACD}" name="Type"/>
    <tableColumn id="3" xr3:uid="{152710AE-01EE-44FF-AEAC-72130EC5DCAD}" name="SubType"/>
    <tableColumn id="12" xr3:uid="{F5CAF2D9-DBB0-42C2-A132-74639479712E}" name="TextEventType"/>
    <tableColumn id="5" xr3:uid="{A409747B-AB32-4591-A873-F68DA4DC884E}" name="Index"/>
    <tableColumn id="6" xr3:uid="{C279414B-4040-4056-8BC8-68F1E7D635EA}" name="FindKey" dataDxfId="2">
      <calculatedColumnFormula xml:space="preserve"> $A2 &amp; IF($A2 = "", "", "_") &amp; $B2 &amp; IF($B2 = "", "", "_") &amp; $C2 &amp; IF($D2 = "", "", "_") &amp;IF(LEN($D2)=1,"00","")&amp;IF(LEN($D2)=2,"0","")&amp; $D2</calculatedColumnFormula>
    </tableColumn>
    <tableColumn id="14" xr3:uid="{C64B3D00-6DCC-4D0E-A516-FAF31A5FC491}" name="Name"/>
    <tableColumn id="7" xr3:uid="{DDBA5F1C-0478-456C-9542-98FC029CD088}" name="Message"/>
    <tableColumn id="17" xr3:uid="{6186C2A4-1D49-4E28-B52A-3A1098793043}" name="SelectA"/>
    <tableColumn id="19" xr3:uid="{3B7ED1E5-57E0-4C5C-A32E-D0AF5058A32C}" name="SelectB"/>
    <tableColumn id="9" xr3:uid="{1682CE75-0C0D-4465-8CEA-DC19B3A25BA7}" name="Memo"/>
    <tableColumn id="10" xr3:uid="{C4DA13B2-8AAC-41B8-B54F-9A96E7675297}" name="追加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37DC-8B19-4B20-96D6-AE4F5624D1DB}">
  <sheetPr codeName="Sheet1"/>
  <dimension ref="A1:D169"/>
  <sheetViews>
    <sheetView topLeftCell="A22" zoomScale="70" zoomScaleNormal="70" workbookViewId="0">
      <selection activeCell="C40" sqref="C40"/>
    </sheetView>
  </sheetViews>
  <sheetFormatPr defaultRowHeight="18" x14ac:dyDescent="0.45"/>
  <cols>
    <col min="1" max="1" width="11.69921875" bestFit="1" customWidth="1"/>
    <col min="2" max="2" width="9.09765625" bestFit="1" customWidth="1"/>
    <col min="3" max="3" width="25.5" bestFit="1" customWidth="1"/>
  </cols>
  <sheetData>
    <row r="1" spans="1:4" x14ac:dyDescent="0.45">
      <c r="A1" s="1" t="s">
        <v>17</v>
      </c>
      <c r="B1" s="1" t="s">
        <v>0</v>
      </c>
      <c r="C1" s="1" t="s">
        <v>14</v>
      </c>
      <c r="D1" s="1" t="s">
        <v>1</v>
      </c>
    </row>
    <row r="2" spans="1:4" x14ac:dyDescent="0.45">
      <c r="A2" t="s">
        <v>2</v>
      </c>
      <c r="B2" t="s">
        <v>3</v>
      </c>
      <c r="C2" t="s">
        <v>15</v>
      </c>
      <c r="D2" t="s">
        <v>4</v>
      </c>
    </row>
    <row r="3" spans="1:4" x14ac:dyDescent="0.45">
      <c r="A3" t="s">
        <v>19</v>
      </c>
      <c r="B3" t="s">
        <v>5</v>
      </c>
      <c r="C3" t="s">
        <v>20</v>
      </c>
      <c r="D3" t="s">
        <v>6</v>
      </c>
    </row>
    <row r="4" spans="1:4" x14ac:dyDescent="0.45">
      <c r="A4" t="s">
        <v>31</v>
      </c>
      <c r="C4" t="s">
        <v>22</v>
      </c>
    </row>
    <row r="5" spans="1:4" x14ac:dyDescent="0.45">
      <c r="C5" t="s">
        <v>21</v>
      </c>
    </row>
    <row r="6" spans="1:4" x14ac:dyDescent="0.45">
      <c r="C6" t="s">
        <v>23</v>
      </c>
    </row>
    <row r="7" spans="1:4" x14ac:dyDescent="0.45">
      <c r="C7" t="s">
        <v>24</v>
      </c>
    </row>
    <row r="8" spans="1:4" x14ac:dyDescent="0.45">
      <c r="C8" t="s">
        <v>25</v>
      </c>
    </row>
    <row r="9" spans="1:4" x14ac:dyDescent="0.45">
      <c r="C9" t="s">
        <v>26</v>
      </c>
    </row>
    <row r="10" spans="1:4" x14ac:dyDescent="0.45">
      <c r="C10" t="s">
        <v>27</v>
      </c>
    </row>
    <row r="11" spans="1:4" x14ac:dyDescent="0.45">
      <c r="C11" t="s">
        <v>28</v>
      </c>
    </row>
    <row r="12" spans="1:4" x14ac:dyDescent="0.45">
      <c r="C12" t="s">
        <v>29</v>
      </c>
    </row>
    <row r="13" spans="1:4" x14ac:dyDescent="0.45">
      <c r="C13" t="s">
        <v>30</v>
      </c>
    </row>
    <row r="14" spans="1:4" x14ac:dyDescent="0.45">
      <c r="C14" t="s">
        <v>50</v>
      </c>
    </row>
    <row r="15" spans="1:4" x14ac:dyDescent="0.45">
      <c r="C15" t="s">
        <v>58</v>
      </c>
    </row>
    <row r="16" spans="1:4" x14ac:dyDescent="0.45">
      <c r="C16" t="s">
        <v>51</v>
      </c>
    </row>
    <row r="17" spans="3:3" x14ac:dyDescent="0.45">
      <c r="C17" s="2" t="s">
        <v>48</v>
      </c>
    </row>
    <row r="18" spans="3:3" x14ac:dyDescent="0.45">
      <c r="C18" s="2" t="s">
        <v>49</v>
      </c>
    </row>
    <row r="19" spans="3:3" x14ac:dyDescent="0.45">
      <c r="C19" s="2" t="s">
        <v>52</v>
      </c>
    </row>
    <row r="20" spans="3:3" x14ac:dyDescent="0.45">
      <c r="C20" s="2" t="s">
        <v>53</v>
      </c>
    </row>
    <row r="21" spans="3:3" x14ac:dyDescent="0.45">
      <c r="C21" s="2" t="s">
        <v>54</v>
      </c>
    </row>
    <row r="22" spans="3:3" x14ac:dyDescent="0.45">
      <c r="C22" s="2" t="s">
        <v>55</v>
      </c>
    </row>
    <row r="23" spans="3:3" x14ac:dyDescent="0.45">
      <c r="C23" s="2" t="s">
        <v>56</v>
      </c>
    </row>
    <row r="24" spans="3:3" x14ac:dyDescent="0.45">
      <c r="C24" s="2" t="s">
        <v>57</v>
      </c>
    </row>
    <row r="25" spans="3:3" x14ac:dyDescent="0.45">
      <c r="C25" s="2" t="s">
        <v>69</v>
      </c>
    </row>
    <row r="26" spans="3:3" x14ac:dyDescent="0.45">
      <c r="C26" s="2" t="s">
        <v>70</v>
      </c>
    </row>
    <row r="27" spans="3:3" x14ac:dyDescent="0.45">
      <c r="C27" s="2" t="s">
        <v>71</v>
      </c>
    </row>
    <row r="28" spans="3:3" x14ac:dyDescent="0.45">
      <c r="C28" s="2" t="s">
        <v>72</v>
      </c>
    </row>
    <row r="29" spans="3:3" x14ac:dyDescent="0.45">
      <c r="C29" s="2" t="s">
        <v>73</v>
      </c>
    </row>
    <row r="30" spans="3:3" x14ac:dyDescent="0.45">
      <c r="C30" s="2" t="s">
        <v>74</v>
      </c>
    </row>
    <row r="31" spans="3:3" x14ac:dyDescent="0.45">
      <c r="C31" s="2" t="s">
        <v>75</v>
      </c>
    </row>
    <row r="32" spans="3:3" x14ac:dyDescent="0.45">
      <c r="C32" s="2" t="s">
        <v>76</v>
      </c>
    </row>
    <row r="33" spans="3:3" x14ac:dyDescent="0.45">
      <c r="C33" s="2" t="s">
        <v>77</v>
      </c>
    </row>
    <row r="34" spans="3:3" x14ac:dyDescent="0.45">
      <c r="C34" s="2" t="s">
        <v>78</v>
      </c>
    </row>
    <row r="35" spans="3:3" x14ac:dyDescent="0.45">
      <c r="C35" s="2" t="s">
        <v>87</v>
      </c>
    </row>
    <row r="36" spans="3:3" x14ac:dyDescent="0.45">
      <c r="C36" s="2" t="s">
        <v>89</v>
      </c>
    </row>
    <row r="37" spans="3:3" x14ac:dyDescent="0.45">
      <c r="C37" s="2" t="s">
        <v>109</v>
      </c>
    </row>
    <row r="38" spans="3:3" x14ac:dyDescent="0.45">
      <c r="C38" s="2" t="s">
        <v>113</v>
      </c>
    </row>
    <row r="39" spans="3:3" x14ac:dyDescent="0.45">
      <c r="C39" s="2" t="s">
        <v>116</v>
      </c>
    </row>
    <row r="40" spans="3:3" x14ac:dyDescent="0.45">
      <c r="C40" s="2" t="s">
        <v>121</v>
      </c>
    </row>
    <row r="41" spans="3:3" x14ac:dyDescent="0.45">
      <c r="C41" s="2"/>
    </row>
    <row r="42" spans="3:3" x14ac:dyDescent="0.45">
      <c r="C42" s="2"/>
    </row>
    <row r="43" spans="3:3" x14ac:dyDescent="0.45">
      <c r="C43" s="2"/>
    </row>
    <row r="44" spans="3:3" x14ac:dyDescent="0.45">
      <c r="C44" s="2"/>
    </row>
    <row r="45" spans="3:3" x14ac:dyDescent="0.45">
      <c r="C45" s="2"/>
    </row>
    <row r="46" spans="3:3" x14ac:dyDescent="0.45">
      <c r="C46" s="2"/>
    </row>
    <row r="47" spans="3:3" x14ac:dyDescent="0.45">
      <c r="C47" s="2"/>
    </row>
    <row r="48" spans="3:3" x14ac:dyDescent="0.45">
      <c r="C48" s="2"/>
    </row>
    <row r="49" spans="3:3" x14ac:dyDescent="0.45">
      <c r="C49" s="2"/>
    </row>
    <row r="50" spans="3:3" x14ac:dyDescent="0.45">
      <c r="C50" s="2"/>
    </row>
    <row r="51" spans="3:3" x14ac:dyDescent="0.45">
      <c r="C51" s="2"/>
    </row>
    <row r="52" spans="3:3" x14ac:dyDescent="0.45">
      <c r="C52" s="2"/>
    </row>
    <row r="53" spans="3:3" x14ac:dyDescent="0.45">
      <c r="C53" s="2"/>
    </row>
    <row r="54" spans="3:3" x14ac:dyDescent="0.45">
      <c r="C54" s="2"/>
    </row>
    <row r="55" spans="3:3" x14ac:dyDescent="0.45">
      <c r="C55" s="2"/>
    </row>
    <row r="56" spans="3:3" x14ac:dyDescent="0.45">
      <c r="C56" s="2"/>
    </row>
    <row r="57" spans="3:3" x14ac:dyDescent="0.45">
      <c r="C57" s="2"/>
    </row>
    <row r="58" spans="3:3" x14ac:dyDescent="0.45">
      <c r="C58" s="2"/>
    </row>
    <row r="59" spans="3:3" x14ac:dyDescent="0.45">
      <c r="C59" s="2"/>
    </row>
    <row r="60" spans="3:3" x14ac:dyDescent="0.45">
      <c r="C60" s="2"/>
    </row>
    <row r="61" spans="3:3" x14ac:dyDescent="0.45">
      <c r="C61" s="2"/>
    </row>
    <row r="62" spans="3:3" x14ac:dyDescent="0.45">
      <c r="C62" s="2"/>
    </row>
    <row r="63" spans="3:3" x14ac:dyDescent="0.45">
      <c r="C63" s="2"/>
    </row>
    <row r="64" spans="3:3" x14ac:dyDescent="0.45">
      <c r="C64" s="2"/>
    </row>
    <row r="154" spans="3:3" x14ac:dyDescent="0.45">
      <c r="C154" s="2"/>
    </row>
    <row r="155" spans="3:3" x14ac:dyDescent="0.45">
      <c r="C155" s="2"/>
    </row>
    <row r="156" spans="3:3" x14ac:dyDescent="0.45">
      <c r="C156" s="2"/>
    </row>
    <row r="157" spans="3:3" x14ac:dyDescent="0.45">
      <c r="C157" s="2"/>
    </row>
    <row r="158" spans="3:3" x14ac:dyDescent="0.45">
      <c r="C158" s="2"/>
    </row>
    <row r="159" spans="3:3" x14ac:dyDescent="0.45">
      <c r="C159" s="2"/>
    </row>
    <row r="160" spans="3:3" x14ac:dyDescent="0.45">
      <c r="C160" s="2"/>
    </row>
    <row r="161" spans="3:3" x14ac:dyDescent="0.45">
      <c r="C161" s="2"/>
    </row>
    <row r="162" spans="3:3" x14ac:dyDescent="0.45">
      <c r="C162" s="2"/>
    </row>
    <row r="163" spans="3:3" x14ac:dyDescent="0.45">
      <c r="C163" s="2"/>
    </row>
    <row r="164" spans="3:3" x14ac:dyDescent="0.45">
      <c r="C164" s="2"/>
    </row>
    <row r="165" spans="3:3" x14ac:dyDescent="0.45">
      <c r="C165" s="2"/>
    </row>
    <row r="166" spans="3:3" x14ac:dyDescent="0.45">
      <c r="C166" s="2"/>
    </row>
    <row r="167" spans="3:3" x14ac:dyDescent="0.45">
      <c r="C167" s="2"/>
    </row>
    <row r="168" spans="3:3" x14ac:dyDescent="0.45">
      <c r="C168" s="2"/>
    </row>
    <row r="169" spans="3:3" x14ac:dyDescent="0.45">
      <c r="C169" s="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9444-D4C0-47E1-9E91-E3B221D6A78D}">
  <sheetPr codeName="KeyText"/>
  <dimension ref="A1:K59"/>
  <sheetViews>
    <sheetView tabSelected="1" topLeftCell="A34" zoomScale="70" zoomScaleNormal="70" workbookViewId="0">
      <selection activeCell="C59" sqref="C59"/>
    </sheetView>
  </sheetViews>
  <sheetFormatPr defaultRowHeight="18" x14ac:dyDescent="0.45"/>
  <cols>
    <col min="1" max="1" width="11.69921875" bestFit="1" customWidth="1"/>
    <col min="2" max="2" width="12.69921875" bestFit="1" customWidth="1"/>
    <col min="3" max="3" width="17.296875" bestFit="1" customWidth="1"/>
    <col min="4" max="4" width="8.296875" bestFit="1" customWidth="1"/>
    <col min="5" max="5" width="61.796875" bestFit="1" customWidth="1"/>
    <col min="6" max="6" width="10.5" bestFit="1" customWidth="1"/>
    <col min="7" max="7" width="33.8984375" bestFit="1" customWidth="1"/>
    <col min="8" max="8" width="12.796875" bestFit="1" customWidth="1"/>
    <col min="9" max="9" width="12.8984375" bestFit="1" customWidth="1"/>
  </cols>
  <sheetData>
    <row r="1" spans="1:11" x14ac:dyDescent="0.45">
      <c r="A1" t="s">
        <v>7</v>
      </c>
      <c r="B1" t="s">
        <v>8</v>
      </c>
      <c r="C1" t="s">
        <v>14</v>
      </c>
      <c r="D1" t="s">
        <v>9</v>
      </c>
      <c r="E1" t="s">
        <v>10</v>
      </c>
      <c r="F1" t="s">
        <v>3</v>
      </c>
      <c r="G1" t="s">
        <v>31</v>
      </c>
      <c r="H1" t="s">
        <v>32</v>
      </c>
      <c r="I1" t="s">
        <v>33</v>
      </c>
      <c r="J1" t="s">
        <v>11</v>
      </c>
      <c r="K1" t="s">
        <v>12</v>
      </c>
    </row>
    <row r="2" spans="1:11" x14ac:dyDescent="0.45">
      <c r="A2" t="s">
        <v>18</v>
      </c>
      <c r="B2" t="s">
        <v>13</v>
      </c>
      <c r="C2" t="s">
        <v>20</v>
      </c>
      <c r="E2" t="str">
        <f xml:space="preserve"> $A2 &amp; IF($A2 = "", "", "_") &amp; $B2 &amp; IF($B2 = "", "", "_") &amp; $C2 &amp; IF($D2 = "", "", "_") &amp;IF(LEN($D2)=1,"00","")&amp;IF(LEN($D2)=2,"0","")&amp; $D2</f>
        <v>Buff_Text_AttackUp</v>
      </c>
      <c r="F2" t="s">
        <v>34</v>
      </c>
      <c r="G2" t="s">
        <v>36</v>
      </c>
      <c r="K2" t="s">
        <v>16</v>
      </c>
    </row>
    <row r="3" spans="1:11" x14ac:dyDescent="0.45">
      <c r="A3" t="s">
        <v>18</v>
      </c>
      <c r="B3" t="s">
        <v>13</v>
      </c>
      <c r="C3" t="s">
        <v>22</v>
      </c>
      <c r="E3" t="str">
        <f t="shared" ref="E3:E17" si="0" xml:space="preserve"> $A3 &amp; IF($A3 = "", "", "_") &amp; $B3 &amp; IF($B3 = "", "", "_") &amp; $C3 &amp; IF($D3 = "", "", "_") &amp;IF(LEN($D3)=1,"00","")&amp;IF(LEN($D3)=2,"0","")&amp; $D3</f>
        <v>Buff_Text_SpeedUp</v>
      </c>
      <c r="F3" t="s">
        <v>35</v>
      </c>
      <c r="G3" t="s">
        <v>46</v>
      </c>
    </row>
    <row r="4" spans="1:11" x14ac:dyDescent="0.45">
      <c r="A4" t="s">
        <v>18</v>
      </c>
      <c r="B4" t="s">
        <v>13</v>
      </c>
      <c r="C4" t="s">
        <v>21</v>
      </c>
      <c r="E4" t="str">
        <f t="shared" si="0"/>
        <v>Buff_Text_ReloadUp</v>
      </c>
      <c r="G4" t="s">
        <v>45</v>
      </c>
    </row>
    <row r="5" spans="1:11" x14ac:dyDescent="0.45">
      <c r="A5" t="s">
        <v>18</v>
      </c>
      <c r="B5" t="s">
        <v>13</v>
      </c>
      <c r="C5" t="s">
        <v>23</v>
      </c>
      <c r="E5" t="str">
        <f t="shared" si="0"/>
        <v>Buff_Text_Heal</v>
      </c>
      <c r="G5" t="s">
        <v>44</v>
      </c>
    </row>
    <row r="6" spans="1:11" x14ac:dyDescent="0.45">
      <c r="A6" t="s">
        <v>18</v>
      </c>
      <c r="B6" t="s">
        <v>13</v>
      </c>
      <c r="C6" t="s">
        <v>24</v>
      </c>
      <c r="E6" t="str">
        <f t="shared" si="0"/>
        <v>Buff_Text_ExpUp</v>
      </c>
      <c r="G6" t="s">
        <v>43</v>
      </c>
    </row>
    <row r="7" spans="1:11" x14ac:dyDescent="0.45">
      <c r="A7" t="s">
        <v>18</v>
      </c>
      <c r="B7" t="s">
        <v>13</v>
      </c>
      <c r="C7" t="s">
        <v>25</v>
      </c>
      <c r="E7" t="str">
        <f t="shared" si="0"/>
        <v>Buff_Text_HpUp</v>
      </c>
      <c r="G7" t="s">
        <v>42</v>
      </c>
    </row>
    <row r="8" spans="1:11" x14ac:dyDescent="0.45">
      <c r="A8" t="s">
        <v>18</v>
      </c>
      <c r="B8" t="s">
        <v>13</v>
      </c>
      <c r="C8" t="s">
        <v>26</v>
      </c>
      <c r="E8" t="str">
        <f t="shared" si="0"/>
        <v>Buff_Text_BuffSlot</v>
      </c>
      <c r="G8" t="s">
        <v>41</v>
      </c>
    </row>
    <row r="9" spans="1:11" x14ac:dyDescent="0.45">
      <c r="A9" t="s">
        <v>18</v>
      </c>
      <c r="B9" t="s">
        <v>13</v>
      </c>
      <c r="C9" t="s">
        <v>27</v>
      </c>
      <c r="E9" t="str">
        <f t="shared" si="0"/>
        <v>Buff_Text_ScopeMode</v>
      </c>
      <c r="G9" t="s">
        <v>40</v>
      </c>
    </row>
    <row r="10" spans="1:11" x14ac:dyDescent="0.45">
      <c r="A10" t="s">
        <v>18</v>
      </c>
      <c r="B10" t="s">
        <v>13</v>
      </c>
      <c r="C10" t="s">
        <v>28</v>
      </c>
      <c r="E10" t="str">
        <f t="shared" si="0"/>
        <v>Buff_Text_BulletUp</v>
      </c>
      <c r="G10" t="s">
        <v>39</v>
      </c>
    </row>
    <row r="11" spans="1:11" x14ac:dyDescent="0.45">
      <c r="A11" t="s">
        <v>18</v>
      </c>
      <c r="B11" t="s">
        <v>13</v>
      </c>
      <c r="C11" t="s">
        <v>29</v>
      </c>
      <c r="E11" t="str">
        <f t="shared" si="0"/>
        <v>Buff_Text_SelecteBuffUp</v>
      </c>
      <c r="G11" t="s">
        <v>38</v>
      </c>
    </row>
    <row r="12" spans="1:11" x14ac:dyDescent="0.45">
      <c r="A12" t="s">
        <v>47</v>
      </c>
      <c r="B12" t="s">
        <v>13</v>
      </c>
      <c r="C12" t="s">
        <v>59</v>
      </c>
      <c r="E12" t="str">
        <f t="shared" si="0"/>
        <v>Message_Text_AttackUpPerSent</v>
      </c>
      <c r="G12" t="s">
        <v>37</v>
      </c>
    </row>
    <row r="13" spans="1:11" x14ac:dyDescent="0.45">
      <c r="A13" t="s">
        <v>47</v>
      </c>
      <c r="B13" t="s">
        <v>13</v>
      </c>
      <c r="C13" t="s">
        <v>50</v>
      </c>
      <c r="E13" t="str">
        <f t="shared" si="0"/>
        <v>Message_Text_AreaCount</v>
      </c>
      <c r="G13" t="s">
        <v>60</v>
      </c>
    </row>
    <row r="14" spans="1:11" x14ac:dyDescent="0.45">
      <c r="A14" t="s">
        <v>47</v>
      </c>
      <c r="B14" t="s">
        <v>13</v>
      </c>
      <c r="C14" t="s">
        <v>58</v>
      </c>
      <c r="E14" t="str">
        <f t="shared" si="0"/>
        <v>Message_Text_NaviEnemyKill</v>
      </c>
      <c r="G14" t="s">
        <v>61</v>
      </c>
    </row>
    <row r="15" spans="1:11" x14ac:dyDescent="0.45">
      <c r="A15" t="s">
        <v>47</v>
      </c>
      <c r="B15" t="s">
        <v>13</v>
      </c>
      <c r="C15" t="s">
        <v>51</v>
      </c>
      <c r="E15" t="str">
        <f t="shared" si="0"/>
        <v>Message_Text_NaviEnemyCount</v>
      </c>
      <c r="G15" t="s">
        <v>62</v>
      </c>
    </row>
    <row r="16" spans="1:11" x14ac:dyDescent="0.45">
      <c r="A16" t="s">
        <v>47</v>
      </c>
      <c r="B16" t="s">
        <v>13</v>
      </c>
      <c r="C16" s="2" t="s">
        <v>48</v>
      </c>
      <c r="E16" t="str">
        <f t="shared" si="0"/>
        <v>Message_Text_NaviBuffSelect</v>
      </c>
      <c r="G16" t="s">
        <v>63</v>
      </c>
    </row>
    <row r="17" spans="1:7" x14ac:dyDescent="0.45">
      <c r="A17" t="s">
        <v>47</v>
      </c>
      <c r="B17" t="s">
        <v>13</v>
      </c>
      <c r="C17" s="2" t="s">
        <v>49</v>
      </c>
      <c r="E17" t="str">
        <f t="shared" si="0"/>
        <v>Message_Text_NaviBuffSelected</v>
      </c>
      <c r="G17" t="s">
        <v>64</v>
      </c>
    </row>
    <row r="18" spans="1:7" x14ac:dyDescent="0.45">
      <c r="A18" t="s">
        <v>47</v>
      </c>
      <c r="B18" t="s">
        <v>13</v>
      </c>
      <c r="C18" s="2" t="s">
        <v>69</v>
      </c>
      <c r="E18" t="str">
        <f t="shared" ref="E18:E53" si="1" xml:space="preserve"> $A18 &amp; IF($A18 = "", "", "_") &amp; $B18 &amp; IF($B18 = "", "", "_") &amp; $C18 &amp; IF($D18 = "", "", "_") &amp;IF(LEN($D18)=1,"00","")&amp;IF(LEN($D18)=2,"0","")&amp; $D18</f>
        <v>Message_Text_ResultClearRabel</v>
      </c>
      <c r="G18" t="s">
        <v>79</v>
      </c>
    </row>
    <row r="19" spans="1:7" x14ac:dyDescent="0.45">
      <c r="A19" t="s">
        <v>47</v>
      </c>
      <c r="B19" t="s">
        <v>13</v>
      </c>
      <c r="C19" s="2" t="s">
        <v>70</v>
      </c>
      <c r="E19" t="str">
        <f t="shared" si="1"/>
        <v>Message_Text_ResultFailedRabel</v>
      </c>
      <c r="G19" t="s">
        <v>80</v>
      </c>
    </row>
    <row r="20" spans="1:7" x14ac:dyDescent="0.45">
      <c r="A20" t="s">
        <v>47</v>
      </c>
      <c r="B20" t="s">
        <v>13</v>
      </c>
      <c r="C20" s="2" t="s">
        <v>71</v>
      </c>
      <c r="E20" t="str">
        <f t="shared" si="1"/>
        <v>Message_Text_ResultFloorRabel</v>
      </c>
      <c r="G20" t="s">
        <v>81</v>
      </c>
    </row>
    <row r="21" spans="1:7" x14ac:dyDescent="0.45">
      <c r="A21" t="s">
        <v>47</v>
      </c>
      <c r="B21" t="s">
        <v>13</v>
      </c>
      <c r="C21" s="2" t="s">
        <v>72</v>
      </c>
      <c r="E21" t="str">
        <f t="shared" si="1"/>
        <v>Message_Text_ResultTimeRabel</v>
      </c>
      <c r="G21" t="s">
        <v>82</v>
      </c>
    </row>
    <row r="22" spans="1:7" x14ac:dyDescent="0.45">
      <c r="A22" t="s">
        <v>47</v>
      </c>
      <c r="B22" t="s">
        <v>13</v>
      </c>
      <c r="C22" s="2" t="s">
        <v>73</v>
      </c>
      <c r="E22" t="str">
        <f t="shared" si="1"/>
        <v>Message_Text_ResultDamageRabel</v>
      </c>
      <c r="G22" t="s">
        <v>83</v>
      </c>
    </row>
    <row r="23" spans="1:7" x14ac:dyDescent="0.45">
      <c r="A23" t="s">
        <v>47</v>
      </c>
      <c r="B23" t="s">
        <v>13</v>
      </c>
      <c r="C23" s="2" t="s">
        <v>74</v>
      </c>
      <c r="E23" t="str">
        <f t="shared" si="1"/>
        <v>Message_Text_ResultEnemyRabel</v>
      </c>
      <c r="G23" t="s">
        <v>84</v>
      </c>
    </row>
    <row r="24" spans="1:7" x14ac:dyDescent="0.45">
      <c r="A24" t="s">
        <v>47</v>
      </c>
      <c r="B24" t="s">
        <v>13</v>
      </c>
      <c r="C24" s="2" t="s">
        <v>75</v>
      </c>
      <c r="E24" t="str">
        <f t="shared" si="1"/>
        <v>Message_Text_ResultFloorValue</v>
      </c>
      <c r="G24" t="s">
        <v>60</v>
      </c>
    </row>
    <row r="25" spans="1:7" x14ac:dyDescent="0.45">
      <c r="A25" t="s">
        <v>47</v>
      </c>
      <c r="B25" t="s">
        <v>13</v>
      </c>
      <c r="C25" s="2" t="s">
        <v>76</v>
      </c>
      <c r="E25" t="str">
        <f t="shared" si="1"/>
        <v>Message_Text_ResultTimeValue</v>
      </c>
      <c r="G25" t="s">
        <v>86</v>
      </c>
    </row>
    <row r="26" spans="1:7" x14ac:dyDescent="0.45">
      <c r="A26" t="s">
        <v>47</v>
      </c>
      <c r="B26" t="s">
        <v>13</v>
      </c>
      <c r="C26" s="2" t="s">
        <v>77</v>
      </c>
      <c r="E26" t="str">
        <f t="shared" si="1"/>
        <v>Message_Text_ResultDamageValue</v>
      </c>
      <c r="G26" t="s">
        <v>86</v>
      </c>
    </row>
    <row r="27" spans="1:7" x14ac:dyDescent="0.45">
      <c r="A27" t="s">
        <v>47</v>
      </c>
      <c r="B27" t="s">
        <v>13</v>
      </c>
      <c r="C27" s="2" t="s">
        <v>78</v>
      </c>
      <c r="E27" t="str">
        <f t="shared" si="1"/>
        <v>Message_Text_ResultEnemyValue</v>
      </c>
      <c r="G27" t="s">
        <v>85</v>
      </c>
    </row>
    <row r="28" spans="1:7" x14ac:dyDescent="0.45">
      <c r="A28" t="s">
        <v>47</v>
      </c>
      <c r="B28" t="s">
        <v>13</v>
      </c>
      <c r="C28" s="2" t="s">
        <v>87</v>
      </c>
      <c r="E28" t="str">
        <f t="shared" si="1"/>
        <v>Message_Text_TapToTitle</v>
      </c>
      <c r="G28" t="s">
        <v>88</v>
      </c>
    </row>
    <row r="29" spans="1:7" x14ac:dyDescent="0.45">
      <c r="A29" t="s">
        <v>47</v>
      </c>
      <c r="B29" t="s">
        <v>13</v>
      </c>
      <c r="C29" s="2" t="s">
        <v>89</v>
      </c>
      <c r="D29">
        <v>1</v>
      </c>
      <c r="E29" t="str">
        <f t="shared" si="1"/>
        <v>Message_Text_TutorialScenario_001</v>
      </c>
      <c r="F29" t="s">
        <v>90</v>
      </c>
      <c r="G29" t="s">
        <v>91</v>
      </c>
    </row>
    <row r="30" spans="1:7" x14ac:dyDescent="0.45">
      <c r="A30" t="s">
        <v>47</v>
      </c>
      <c r="B30" t="s">
        <v>13</v>
      </c>
      <c r="C30" s="2" t="s">
        <v>89</v>
      </c>
      <c r="D30">
        <v>2</v>
      </c>
      <c r="E30" t="str">
        <f t="shared" si="1"/>
        <v>Message_Text_TutorialScenario_002</v>
      </c>
      <c r="F30" t="s">
        <v>90</v>
      </c>
      <c r="G30" t="s">
        <v>92</v>
      </c>
    </row>
    <row r="31" spans="1:7" x14ac:dyDescent="0.45">
      <c r="A31" t="s">
        <v>47</v>
      </c>
      <c r="B31" t="s">
        <v>13</v>
      </c>
      <c r="C31" s="2" t="s">
        <v>89</v>
      </c>
      <c r="D31">
        <v>3</v>
      </c>
      <c r="E31" t="str">
        <f t="shared" si="1"/>
        <v>Message_Text_TutorialScenario_003</v>
      </c>
      <c r="F31" t="s">
        <v>93</v>
      </c>
      <c r="G31" s="3" t="s">
        <v>94</v>
      </c>
    </row>
    <row r="32" spans="1:7" x14ac:dyDescent="0.45">
      <c r="A32" t="s">
        <v>47</v>
      </c>
      <c r="B32" t="s">
        <v>13</v>
      </c>
      <c r="C32" s="2" t="s">
        <v>89</v>
      </c>
      <c r="D32">
        <v>4</v>
      </c>
      <c r="E32" t="str">
        <f t="shared" si="1"/>
        <v>Message_Text_TutorialScenario_004</v>
      </c>
      <c r="F32" t="s">
        <v>93</v>
      </c>
      <c r="G32" t="s">
        <v>100</v>
      </c>
    </row>
    <row r="33" spans="1:7" x14ac:dyDescent="0.45">
      <c r="A33" t="s">
        <v>47</v>
      </c>
      <c r="B33" t="s">
        <v>13</v>
      </c>
      <c r="C33" s="2" t="s">
        <v>89</v>
      </c>
      <c r="D33">
        <v>5</v>
      </c>
      <c r="E33" t="str">
        <f t="shared" si="1"/>
        <v>Message_Text_TutorialScenario_005</v>
      </c>
      <c r="F33" t="s">
        <v>93</v>
      </c>
      <c r="G33" t="s">
        <v>101</v>
      </c>
    </row>
    <row r="34" spans="1:7" x14ac:dyDescent="0.45">
      <c r="A34" t="s">
        <v>47</v>
      </c>
      <c r="B34" t="s">
        <v>13</v>
      </c>
      <c r="C34" s="2" t="s">
        <v>89</v>
      </c>
      <c r="D34">
        <v>6</v>
      </c>
      <c r="E34" t="str">
        <f t="shared" si="1"/>
        <v>Message_Text_TutorialScenario_006</v>
      </c>
      <c r="F34" t="s">
        <v>93</v>
      </c>
      <c r="G34" t="s">
        <v>97</v>
      </c>
    </row>
    <row r="35" spans="1:7" x14ac:dyDescent="0.45">
      <c r="A35" t="s">
        <v>47</v>
      </c>
      <c r="B35" t="s">
        <v>13</v>
      </c>
      <c r="C35" s="2" t="s">
        <v>89</v>
      </c>
      <c r="D35">
        <v>7</v>
      </c>
      <c r="E35" t="str">
        <f t="shared" si="1"/>
        <v>Message_Text_TutorialScenario_007</v>
      </c>
      <c r="F35" t="s">
        <v>93</v>
      </c>
      <c r="G35" t="s">
        <v>95</v>
      </c>
    </row>
    <row r="36" spans="1:7" x14ac:dyDescent="0.45">
      <c r="A36" t="s">
        <v>47</v>
      </c>
      <c r="B36" t="s">
        <v>13</v>
      </c>
      <c r="C36" s="2" t="s">
        <v>89</v>
      </c>
      <c r="D36">
        <v>8</v>
      </c>
      <c r="E36" t="str">
        <f t="shared" si="1"/>
        <v>Message_Text_TutorialScenario_008</v>
      </c>
      <c r="F36" t="s">
        <v>93</v>
      </c>
      <c r="G36" t="s">
        <v>98</v>
      </c>
    </row>
    <row r="37" spans="1:7" x14ac:dyDescent="0.45">
      <c r="A37" t="s">
        <v>47</v>
      </c>
      <c r="B37" t="s">
        <v>13</v>
      </c>
      <c r="C37" s="2" t="s">
        <v>89</v>
      </c>
      <c r="D37">
        <v>9</v>
      </c>
      <c r="E37" t="str">
        <f t="shared" si="1"/>
        <v>Message_Text_TutorialScenario_009</v>
      </c>
      <c r="F37" t="s">
        <v>93</v>
      </c>
      <c r="G37" t="s">
        <v>99</v>
      </c>
    </row>
    <row r="38" spans="1:7" x14ac:dyDescent="0.45">
      <c r="A38" t="s">
        <v>47</v>
      </c>
      <c r="B38" t="s">
        <v>13</v>
      </c>
      <c r="C38" s="2" t="s">
        <v>89</v>
      </c>
      <c r="D38">
        <v>10</v>
      </c>
      <c r="E38" t="str">
        <f t="shared" si="1"/>
        <v>Message_Text_TutorialScenario_010</v>
      </c>
      <c r="F38" t="s">
        <v>93</v>
      </c>
      <c r="G38" t="s">
        <v>102</v>
      </c>
    </row>
    <row r="39" spans="1:7" x14ac:dyDescent="0.45">
      <c r="A39" t="s">
        <v>47</v>
      </c>
      <c r="B39" t="s">
        <v>13</v>
      </c>
      <c r="C39" s="2" t="s">
        <v>89</v>
      </c>
      <c r="D39">
        <v>11</v>
      </c>
      <c r="E39" t="str">
        <f t="shared" si="1"/>
        <v>Message_Text_TutorialScenario_011</v>
      </c>
      <c r="F39" t="s">
        <v>93</v>
      </c>
      <c r="G39" t="s">
        <v>96</v>
      </c>
    </row>
    <row r="40" spans="1:7" x14ac:dyDescent="0.45">
      <c r="A40" t="s">
        <v>47</v>
      </c>
      <c r="B40" t="s">
        <v>13</v>
      </c>
      <c r="C40" s="2" t="s">
        <v>52</v>
      </c>
      <c r="D40">
        <v>1</v>
      </c>
      <c r="E40" t="str">
        <f t="shared" si="1"/>
        <v>Message_Text_NaviAccept_001</v>
      </c>
      <c r="G40" t="s">
        <v>103</v>
      </c>
    </row>
    <row r="41" spans="1:7" x14ac:dyDescent="0.45">
      <c r="A41" t="s">
        <v>47</v>
      </c>
      <c r="B41" t="s">
        <v>13</v>
      </c>
      <c r="C41" s="2" t="s">
        <v>52</v>
      </c>
      <c r="D41">
        <v>2</v>
      </c>
      <c r="E41" t="str">
        <f t="shared" si="1"/>
        <v>Message_Text_NaviAccept_002</v>
      </c>
      <c r="G41" t="s">
        <v>106</v>
      </c>
    </row>
    <row r="42" spans="1:7" x14ac:dyDescent="0.45">
      <c r="A42" t="s">
        <v>47</v>
      </c>
      <c r="B42" t="s">
        <v>13</v>
      </c>
      <c r="C42" s="2" t="s">
        <v>52</v>
      </c>
      <c r="D42">
        <v>3</v>
      </c>
      <c r="E42" t="str">
        <f t="shared" si="1"/>
        <v>Message_Text_NaviAccept_003</v>
      </c>
      <c r="G42" t="s">
        <v>104</v>
      </c>
    </row>
    <row r="43" spans="1:7" x14ac:dyDescent="0.45">
      <c r="A43" t="s">
        <v>47</v>
      </c>
      <c r="B43" t="s">
        <v>13</v>
      </c>
      <c r="C43" s="2" t="s">
        <v>53</v>
      </c>
      <c r="D43">
        <v>1</v>
      </c>
      <c r="E43" t="str">
        <f t="shared" si="1"/>
        <v>Message_Text_NaviMove_001</v>
      </c>
      <c r="G43" t="s">
        <v>105</v>
      </c>
    </row>
    <row r="44" spans="1:7" x14ac:dyDescent="0.45">
      <c r="A44" t="s">
        <v>47</v>
      </c>
      <c r="B44" t="s">
        <v>13</v>
      </c>
      <c r="C44" s="2" t="s">
        <v>53</v>
      </c>
      <c r="D44">
        <v>2</v>
      </c>
      <c r="E44" t="str">
        <f t="shared" si="1"/>
        <v>Message_Text_NaviMove_002</v>
      </c>
      <c r="G44" t="s">
        <v>65</v>
      </c>
    </row>
    <row r="45" spans="1:7" x14ac:dyDescent="0.45">
      <c r="A45" t="s">
        <v>47</v>
      </c>
      <c r="B45" t="s">
        <v>13</v>
      </c>
      <c r="C45" s="2" t="s">
        <v>53</v>
      </c>
      <c r="D45">
        <v>3</v>
      </c>
      <c r="E45" t="str">
        <f t="shared" si="1"/>
        <v>Message_Text_NaviMove_003</v>
      </c>
      <c r="G45" t="s">
        <v>107</v>
      </c>
    </row>
    <row r="46" spans="1:7" x14ac:dyDescent="0.45">
      <c r="A46" t="s">
        <v>47</v>
      </c>
      <c r="B46" t="s">
        <v>13</v>
      </c>
      <c r="C46" s="2" t="s">
        <v>54</v>
      </c>
      <c r="E46" t="str">
        <f t="shared" si="1"/>
        <v>Message_Text_NaviShoot</v>
      </c>
      <c r="G46" t="s">
        <v>66</v>
      </c>
    </row>
    <row r="47" spans="1:7" x14ac:dyDescent="0.45">
      <c r="A47" t="s">
        <v>47</v>
      </c>
      <c r="B47" t="s">
        <v>13</v>
      </c>
      <c r="C47" s="2" t="s">
        <v>55</v>
      </c>
      <c r="E47" t="str">
        <f t="shared" si="1"/>
        <v>Message_Text_NaviBullet</v>
      </c>
      <c r="G47" t="s">
        <v>108</v>
      </c>
    </row>
    <row r="48" spans="1:7" x14ac:dyDescent="0.45">
      <c r="A48" t="s">
        <v>47</v>
      </c>
      <c r="B48" t="s">
        <v>13</v>
      </c>
      <c r="C48" s="2" t="s">
        <v>56</v>
      </c>
      <c r="D48">
        <v>1</v>
      </c>
      <c r="E48" t="str">
        <f t="shared" si="1"/>
        <v>Message_Text_NaviEnemyDown_001</v>
      </c>
      <c r="G48" t="s">
        <v>67</v>
      </c>
    </row>
    <row r="49" spans="1:7" x14ac:dyDescent="0.45">
      <c r="A49" t="s">
        <v>47</v>
      </c>
      <c r="B49" t="s">
        <v>13</v>
      </c>
      <c r="C49" s="2" t="s">
        <v>56</v>
      </c>
      <c r="D49">
        <v>2</v>
      </c>
      <c r="E49" t="str">
        <f t="shared" si="1"/>
        <v>Message_Text_NaviEnemyDown_002</v>
      </c>
      <c r="G49" t="s">
        <v>68</v>
      </c>
    </row>
    <row r="50" spans="1:7" x14ac:dyDescent="0.45">
      <c r="A50" t="s">
        <v>47</v>
      </c>
      <c r="B50" t="s">
        <v>13</v>
      </c>
      <c r="C50" s="2" t="s">
        <v>57</v>
      </c>
      <c r="D50">
        <v>1</v>
      </c>
      <c r="E50" t="str">
        <f t="shared" si="1"/>
        <v>Message_Text_NaviBuff_001</v>
      </c>
      <c r="G50" t="s">
        <v>111</v>
      </c>
    </row>
    <row r="51" spans="1:7" x14ac:dyDescent="0.45">
      <c r="A51" t="s">
        <v>47</v>
      </c>
      <c r="B51" t="s">
        <v>13</v>
      </c>
      <c r="C51" s="2" t="s">
        <v>57</v>
      </c>
      <c r="D51">
        <v>2</v>
      </c>
      <c r="E51" t="str">
        <f t="shared" si="1"/>
        <v>Message_Text_NaviBuff_002</v>
      </c>
      <c r="G51" t="s">
        <v>112</v>
      </c>
    </row>
    <row r="52" spans="1:7" x14ac:dyDescent="0.45">
      <c r="A52" t="s">
        <v>47</v>
      </c>
      <c r="B52" t="s">
        <v>13</v>
      </c>
      <c r="C52" s="2" t="s">
        <v>109</v>
      </c>
      <c r="E52" t="str">
        <f t="shared" si="1"/>
        <v>Message_Text_NaviNext</v>
      </c>
      <c r="G52" t="s">
        <v>110</v>
      </c>
    </row>
    <row r="53" spans="1:7" x14ac:dyDescent="0.45">
      <c r="A53" t="s">
        <v>47</v>
      </c>
      <c r="B53" t="s">
        <v>13</v>
      </c>
      <c r="C53" s="2" t="s">
        <v>113</v>
      </c>
      <c r="D53">
        <v>1</v>
      </c>
      <c r="E53" t="str">
        <f t="shared" si="1"/>
        <v>Message_Text_NaviFight_001</v>
      </c>
      <c r="G53" t="s">
        <v>114</v>
      </c>
    </row>
    <row r="54" spans="1:7" x14ac:dyDescent="0.45">
      <c r="A54" t="s">
        <v>47</v>
      </c>
      <c r="B54" t="s">
        <v>13</v>
      </c>
      <c r="C54" s="2" t="s">
        <v>113</v>
      </c>
      <c r="D54">
        <v>2</v>
      </c>
      <c r="E54" t="str">
        <f t="shared" ref="E54:E57" si="2" xml:space="preserve"> $A54 &amp; IF($A54 = "", "", "_") &amp; $B54 &amp; IF($B54 = "", "", "_") &amp; $C54 &amp; IF($D54 = "", "", "_") &amp;IF(LEN($D54)=1,"00","")&amp;IF(LEN($D54)=2,"0","")&amp; $D54</f>
        <v>Message_Text_NaviFight_002</v>
      </c>
      <c r="G54" t="s">
        <v>117</v>
      </c>
    </row>
    <row r="55" spans="1:7" x14ac:dyDescent="0.45">
      <c r="A55" t="s">
        <v>47</v>
      </c>
      <c r="B55" t="s">
        <v>13</v>
      </c>
      <c r="C55" s="2" t="s">
        <v>113</v>
      </c>
      <c r="D55">
        <v>3</v>
      </c>
      <c r="E55" t="str">
        <f t="shared" si="2"/>
        <v>Message_Text_NaviFight_003</v>
      </c>
      <c r="G55" t="s">
        <v>115</v>
      </c>
    </row>
    <row r="56" spans="1:7" x14ac:dyDescent="0.45">
      <c r="A56" t="s">
        <v>47</v>
      </c>
      <c r="B56" t="s">
        <v>13</v>
      </c>
      <c r="C56" s="2" t="s">
        <v>116</v>
      </c>
      <c r="D56">
        <v>1</v>
      </c>
      <c r="E56" t="str">
        <f t="shared" si="2"/>
        <v>Message_Text_NaviEnd_001</v>
      </c>
      <c r="G56" t="s">
        <v>118</v>
      </c>
    </row>
    <row r="57" spans="1:7" x14ac:dyDescent="0.45">
      <c r="A57" t="s">
        <v>47</v>
      </c>
      <c r="B57" t="s">
        <v>13</v>
      </c>
      <c r="C57" s="2" t="s">
        <v>116</v>
      </c>
      <c r="D57">
        <v>2</v>
      </c>
      <c r="E57" t="str">
        <f t="shared" si="2"/>
        <v>Message_Text_NaviEnd_002</v>
      </c>
      <c r="G57" t="s">
        <v>119</v>
      </c>
    </row>
    <row r="58" spans="1:7" x14ac:dyDescent="0.45">
      <c r="A58" t="s">
        <v>47</v>
      </c>
      <c r="B58" t="s">
        <v>13</v>
      </c>
      <c r="C58" s="2" t="s">
        <v>120</v>
      </c>
      <c r="D58">
        <v>1</v>
      </c>
      <c r="E58" s="4" t="str">
        <f xml:space="preserve"> $A58 &amp; IF($A58 = "", "", "_") &amp; $B58 &amp; IF($B58 = "", "", "_") &amp; $C58 &amp; IF($D58 = "", "", "_") &amp;IF(LEN($D58)=1,"00","")&amp;IF(LEN($D58)=2,"0","")&amp; $D58</f>
        <v>Message_Text_NaviGameEnd_001</v>
      </c>
      <c r="G58" t="s">
        <v>67</v>
      </c>
    </row>
    <row r="59" spans="1:7" x14ac:dyDescent="0.45">
      <c r="A59" t="s">
        <v>47</v>
      </c>
      <c r="B59" t="s">
        <v>13</v>
      </c>
      <c r="C59" t="s">
        <v>120</v>
      </c>
      <c r="D59">
        <v>2</v>
      </c>
      <c r="E59" s="4" t="str">
        <f xml:space="preserve"> $A59 &amp; IF($A59 = "", "", "_") &amp; $B59 &amp; IF($B59 = "", "", "_") &amp; $C59 &amp; IF($D59 = "", "", "_") &amp;IF(LEN($D59)=1,"00","")&amp;IF(LEN($D59)=2,"0","")&amp; $D59</f>
        <v>Message_Text_NaviGameEnd_002</v>
      </c>
      <c r="G59" t="s">
        <v>122</v>
      </c>
    </row>
  </sheetData>
  <phoneticPr fontId="1"/>
  <conditionalFormatting sqref="E2:E59">
    <cfRule type="duplicateValues" dxfId="3" priority="29"/>
  </conditionalFormatting>
  <dataValidations count="1">
    <dataValidation type="whole" allowBlank="1" showInputMessage="1" showErrorMessage="1" sqref="D2:D59" xr:uid="{EB0F381F-EF56-487C-AD81-563C40D3FC2E}">
      <formula1>1</formula1>
      <formula2>50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1DE41DD-C896-4CA8-81EA-04DBE5DEA1B1}">
          <x14:formula1>
            <xm:f>プルダウンリスト!$D$2:$D$3</xm:f>
          </x14:formula1>
          <xm:sqref>K2:K39 K52:K65</xm:sqref>
        </x14:dataValidation>
        <x14:dataValidation type="list" allowBlank="1" showInputMessage="1" showErrorMessage="1" xr:uid="{DF967EBE-1BAC-4CBC-893F-7813476C04F9}">
          <x14:formula1>
            <xm:f>プルダウンリスト!$A$2:$A$30</xm:f>
          </x14:formula1>
          <xm:sqref>A2:A59</xm:sqref>
        </x14:dataValidation>
        <x14:dataValidation type="list" allowBlank="1" showInputMessage="1" showErrorMessage="1" xr:uid="{17E6B904-C48F-418B-AB40-1E65802E4FC5}">
          <x14:formula1>
            <xm:f>プルダウンリスト!$B$2:$B$30</xm:f>
          </x14:formula1>
          <xm:sqref>B2:B59</xm:sqref>
        </x14:dataValidation>
        <x14:dataValidation type="list" allowBlank="1" showInputMessage="1" showErrorMessage="1" xr:uid="{ADD07C72-DB8D-4D41-BB90-6AD77B0D7F01}">
          <x14:formula1>
            <xm:f>プルダウンリスト!$C$2:$C$249</xm:f>
          </x14:formula1>
          <xm:sqref>C2:C59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80cf54e-e95d-479c-9aa6-c617dfdec8b6">
      <Terms xmlns="http://schemas.microsoft.com/office/infopath/2007/PartnerControls"/>
    </lcf76f155ced4ddcb4097134ff3c332f>
    <TaxCatchAll xmlns="c7ee05cf-bf49-4c52-91a2-cb6f37c39b91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3F4E338CBAEC6418B134806847B51EB" ma:contentTypeVersion="11" ma:contentTypeDescription="新しいドキュメントを作成します。" ma:contentTypeScope="" ma:versionID="b7c08da99f7bddc1c739f05ee7ad53db">
  <xsd:schema xmlns:xsd="http://www.w3.org/2001/XMLSchema" xmlns:xs="http://www.w3.org/2001/XMLSchema" xmlns:p="http://schemas.microsoft.com/office/2006/metadata/properties" xmlns:ns2="680cf54e-e95d-479c-9aa6-c617dfdec8b6" xmlns:ns3="c7ee05cf-bf49-4c52-91a2-cb6f37c39b91" targetNamespace="http://schemas.microsoft.com/office/2006/metadata/properties" ma:root="true" ma:fieldsID="1f82fd5d5d387f49492f949e082f52c7" ns2:_="" ns3:_="">
    <xsd:import namespace="680cf54e-e95d-479c-9aa6-c617dfdec8b6"/>
    <xsd:import namespace="c7ee05cf-bf49-4c52-91a2-cb6f37c39b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0cf54e-e95d-479c-9aa6-c617dfdec8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0895b9c0-74fc-4553-aa0b-380ace5f8a7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ee05cf-bf49-4c52-91a2-cb6f37c39b91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3d690ce7-0a21-4ed9-9249-affbeba369be}" ma:internalName="TaxCatchAll" ma:showField="CatchAllData" ma:web="c7ee05cf-bf49-4c52-91a2-cb6f37c39b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FF6E37F-8CA4-4172-82C9-0A14E9E4D4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DD6A2D-A589-43CA-A491-A513926F3C3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689199D-8EE3-4A20-82E0-7E90E96FD775}">
  <ds:schemaRefs>
    <ds:schemaRef ds:uri="http://purl.org/dc/elements/1.1/"/>
    <ds:schemaRef ds:uri="http://purl.org/dc/dcmitype/"/>
    <ds:schemaRef ds:uri="http://schemas.microsoft.com/office/2006/documentManagement/types"/>
    <ds:schemaRef ds:uri="680cf54e-e95d-479c-9aa6-c617dfdec8b6"/>
    <ds:schemaRef ds:uri="http://schemas.microsoft.com/office/infopath/2007/PartnerControls"/>
    <ds:schemaRef ds:uri="c7ee05cf-bf49-4c52-91a2-cb6f37c39b91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A7916FC0-A6AF-46C5-873E-CF9ED73D33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0cf54e-e95d-479c-9aa6-c617dfdec8b6"/>
    <ds:schemaRef ds:uri="c7ee05cf-bf49-4c52-91a2-cb6f37c39b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プルダウンリスト</vt:lpstr>
      <vt:lpstr>KeyText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青鹿 翔</dc:creator>
  <cp:keywords/>
  <dc:description/>
  <cp:lastModifiedBy>青鹿 翔</cp:lastModifiedBy>
  <cp:revision/>
  <cp:lastPrinted>2025-07-18T05:27:43Z</cp:lastPrinted>
  <dcterms:created xsi:type="dcterms:W3CDTF">2025-05-02T00:23:43Z</dcterms:created>
  <dcterms:modified xsi:type="dcterms:W3CDTF">2025-11-23T01:57:04Z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0x010100B3F4E338CBAEC6418B134806847B51EB</vt:lpwstr>
  </property>
  <property fmtid="{D5CDD505-2E9C-101B-9397-08002B2CF9AE}" pid="3" name="MediaServiceImageTags">
    <vt:lpwstr/>
  </property>
</Properties>
</file>